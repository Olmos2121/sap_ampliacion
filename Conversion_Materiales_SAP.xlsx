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farmaciaazularg-my.sharepoint.com/personal/tolmos_farmaplus_com_ar/Documents/Escritorio/"/>
    </mc:Choice>
  </mc:AlternateContent>
  <xr:revisionPtr revIDLastSave="16" documentId="8_{33C222E6-088C-40CB-B14B-40327A0DECB8}" xr6:coauthVersionLast="47" xr6:coauthVersionMax="47" xr10:uidLastSave="{73F0896C-8EE9-42DF-8B75-88731E6E4385}"/>
  <bookViews>
    <workbookView xWindow="-108" yWindow="-108" windowWidth="23256" windowHeight="12456" xr2:uid="{24C6C4CD-E386-489A-A030-BE4BEADE2BDB}"/>
  </bookViews>
  <sheets>
    <sheet name="TABLAS CONV" sheetId="1" r:id="rId1"/>
  </sheets>
  <definedNames>
    <definedName name="_xlnm._FilterDatabase" localSheetId="0" hidden="1">'TABLAS CONV'!$A$1:$H$66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<sst xmlns="http://schemas.openxmlformats.org/spreadsheetml/2006/main" count="631" uniqueCount="277">
  <si>
    <t>PARTICION</t>
  </si>
  <si>
    <t>GESTION DE LOTE</t>
  </si>
  <si>
    <t>CENTRO SUM</t>
  </si>
  <si>
    <t>GRUPO DE COMPRA</t>
  </si>
  <si>
    <t>Tipo de material</t>
  </si>
  <si>
    <t>Descripción tipo de material</t>
  </si>
  <si>
    <t>Grupo de categoria de posicion</t>
  </si>
  <si>
    <t>IMP SAP</t>
  </si>
  <si>
    <t>ID PLEX</t>
  </si>
  <si>
    <t>CONCATENAR</t>
  </si>
  <si>
    <t>GlmM</t>
  </si>
  <si>
    <t>Descripcion</t>
  </si>
  <si>
    <t>centro</t>
  </si>
  <si>
    <t>almacen</t>
  </si>
  <si>
    <t>ID SAP</t>
  </si>
  <si>
    <t>IVA CF 21%</t>
  </si>
  <si>
    <t>Category2</t>
  </si>
  <si>
    <t>Tipo de material SAP</t>
  </si>
  <si>
    <t>Sector</t>
  </si>
  <si>
    <t>Gestion de lote</t>
  </si>
  <si>
    <t>Centro sum</t>
  </si>
  <si>
    <t>Grupo de compra</t>
  </si>
  <si>
    <t>ZMAT</t>
  </si>
  <si>
    <t>Materia Prima</t>
  </si>
  <si>
    <t>NORM</t>
  </si>
  <si>
    <t>ZMED</t>
  </si>
  <si>
    <t>01</t>
  </si>
  <si>
    <t>Medicinal exento</t>
  </si>
  <si>
    <t>A110</t>
  </si>
  <si>
    <t>0010</t>
  </si>
  <si>
    <t>IVA CF Exento</t>
  </si>
  <si>
    <t>IVA CF 27%</t>
  </si>
  <si>
    <t>J0101</t>
  </si>
  <si>
    <t>ETICOS MED</t>
  </si>
  <si>
    <t>J0101-ETICOS MED</t>
  </si>
  <si>
    <t>S1</t>
  </si>
  <si>
    <t>X</t>
  </si>
  <si>
    <t>001</t>
  </si>
  <si>
    <t>ZPMA</t>
  </si>
  <si>
    <t>Preparados Magistrales</t>
  </si>
  <si>
    <t>02</t>
  </si>
  <si>
    <t>Medicinal gravado</t>
  </si>
  <si>
    <t>0011</t>
  </si>
  <si>
    <t>IVA CF 10,5%</t>
  </si>
  <si>
    <t>J0102</t>
  </si>
  <si>
    <t>OTC MED</t>
  </si>
  <si>
    <t>J0102-OTC MED</t>
  </si>
  <si>
    <t>Producto Medicamento</t>
  </si>
  <si>
    <t>ZSER</t>
  </si>
  <si>
    <t>04</t>
  </si>
  <si>
    <t>Servicios gravados</t>
  </si>
  <si>
    <t>0020</t>
  </si>
  <si>
    <t>IVA CF 2,5%</t>
  </si>
  <si>
    <t>J0103</t>
  </si>
  <si>
    <t>OTC NOMED</t>
  </si>
  <si>
    <t>J0103-DERMATOMEDICINALES NOMED</t>
  </si>
  <si>
    <t>ZNOM</t>
  </si>
  <si>
    <t>S2</t>
  </si>
  <si>
    <t>Producto No Medicamento</t>
  </si>
  <si>
    <t>05</t>
  </si>
  <si>
    <t>Servicios exentos</t>
  </si>
  <si>
    <t>0021</t>
  </si>
  <si>
    <t>IVA CF 5%</t>
  </si>
  <si>
    <t>J0104</t>
  </si>
  <si>
    <t>SUPLEMENTOS NOMED</t>
  </si>
  <si>
    <t>J0104-NUTRICION:SUPLEMENTOS Y LECHES NOMED</t>
  </si>
  <si>
    <t>ZCOM</t>
  </si>
  <si>
    <t>Combos</t>
  </si>
  <si>
    <t>ERLA</t>
  </si>
  <si>
    <t>03</t>
  </si>
  <si>
    <t>No medicinal</t>
  </si>
  <si>
    <t>0022</t>
  </si>
  <si>
    <t>A130</t>
  </si>
  <si>
    <t>J0105</t>
  </si>
  <si>
    <t>VALES OFICIALES NOMED</t>
  </si>
  <si>
    <t>J0105-ACCESORIOS NOMED</t>
  </si>
  <si>
    <t>Servicios</t>
  </si>
  <si>
    <t>LEIS</t>
  </si>
  <si>
    <t>0040</t>
  </si>
  <si>
    <t>IVA Exento</t>
  </si>
  <si>
    <t>IVA CF No Alcanzado</t>
  </si>
  <si>
    <t>J0106</t>
  </si>
  <si>
    <t>OPTICA NOMED</t>
  </si>
  <si>
    <t>J0106-OPTICA NOMED</t>
  </si>
  <si>
    <t>ZNOV</t>
  </si>
  <si>
    <t>Material no Valorado</t>
  </si>
  <si>
    <t>ZINS</t>
  </si>
  <si>
    <t>0042</t>
  </si>
  <si>
    <t>A120</t>
  </si>
  <si>
    <t>IVA 10,5%</t>
  </si>
  <si>
    <t>J0107</t>
  </si>
  <si>
    <t>FRACCIONADOS MED</t>
  </si>
  <si>
    <t>J0107-FRACCIONADOS MED</t>
  </si>
  <si>
    <t>Insumos</t>
  </si>
  <si>
    <t>0043</t>
  </si>
  <si>
    <t>IVA 21%</t>
  </si>
  <si>
    <t>J0108</t>
  </si>
  <si>
    <t>PACK Y S/TROQUEL MED</t>
  </si>
  <si>
    <t>J0108-PACK Y S/TROQUEL MED</t>
  </si>
  <si>
    <t>ZNOA</t>
  </si>
  <si>
    <t>Material No Almacen</t>
  </si>
  <si>
    <t>NLAG</t>
  </si>
  <si>
    <t>0030</t>
  </si>
  <si>
    <t>IVA 27%</t>
  </si>
  <si>
    <t>J0109</t>
  </si>
  <si>
    <t>VALES OFICIALES MED</t>
  </si>
  <si>
    <t>J0109-VALES OFICIALES MED</t>
  </si>
  <si>
    <t>0031</t>
  </si>
  <si>
    <t>J0110</t>
  </si>
  <si>
    <t>PACK Y S/TROQUEL NOMED</t>
  </si>
  <si>
    <t>J0110-EQUIPOS-TEST NOMED</t>
  </si>
  <si>
    <t>J0201</t>
  </si>
  <si>
    <t>CAPILARES</t>
  </si>
  <si>
    <t>J0201-CAPILARES</t>
  </si>
  <si>
    <t>002</t>
  </si>
  <si>
    <t>J0202</t>
  </si>
  <si>
    <t>CREMAS DE BELLEZA</t>
  </si>
  <si>
    <t>J0202-CREMAS DE BELLEZA</t>
  </si>
  <si>
    <t>J0203</t>
  </si>
  <si>
    <t>DENTALES</t>
  </si>
  <si>
    <t>J0203-DENTALES</t>
  </si>
  <si>
    <t>J0204</t>
  </si>
  <si>
    <t>DESODORANTES</t>
  </si>
  <si>
    <t>J0204-DESODORANTES</t>
  </si>
  <si>
    <t>J0205</t>
  </si>
  <si>
    <t>HIGIENE PERSONAL</t>
  </si>
  <si>
    <t>J0205-HIGIENE PERSONAL</t>
  </si>
  <si>
    <t>J0206</t>
  </si>
  <si>
    <t>FRAGANCIAS</t>
  </si>
  <si>
    <t>J0206-FRAGANCIAS</t>
  </si>
  <si>
    <t>ACCESORIOS</t>
  </si>
  <si>
    <t>J0207</t>
  </si>
  <si>
    <t>MAKE UP</t>
  </si>
  <si>
    <t>J0207-MAKE UP</t>
  </si>
  <si>
    <t>J0208</t>
  </si>
  <si>
    <t>ACCESORIOS DE BELLEZA</t>
  </si>
  <si>
    <t>J0208-ACCESORIOS DE BELLEZA</t>
  </si>
  <si>
    <t>J0209</t>
  </si>
  <si>
    <t>INFANTILES</t>
  </si>
  <si>
    <t>J0209-INFANTILES</t>
  </si>
  <si>
    <t>J0210</t>
  </si>
  <si>
    <t>PRESERVATIVOS</t>
  </si>
  <si>
    <t>J0210-PRESERVATIVOS</t>
  </si>
  <si>
    <t>J0211</t>
  </si>
  <si>
    <t>HIGIENE FEMENINA</t>
  </si>
  <si>
    <t>J0211-HIGIENE FEMENINA</t>
  </si>
  <si>
    <t>J0212</t>
  </si>
  <si>
    <t>HIGIENE ADULTOS</t>
  </si>
  <si>
    <t>J0212-HIGIENE ADULTOS</t>
  </si>
  <si>
    <t>J0213</t>
  </si>
  <si>
    <t>REGALABLES</t>
  </si>
  <si>
    <t>J0213-REGALABLES</t>
  </si>
  <si>
    <t>J0301</t>
  </si>
  <si>
    <t>J0301-CREMAS DE BELLEZA</t>
  </si>
  <si>
    <t>003</t>
  </si>
  <si>
    <t>J0302</t>
  </si>
  <si>
    <t>SOLARES</t>
  </si>
  <si>
    <t>J0302-SOLARES</t>
  </si>
  <si>
    <t>J0303</t>
  </si>
  <si>
    <t>J0303-CAPILARES</t>
  </si>
  <si>
    <t>J0305</t>
  </si>
  <si>
    <t>J0305-MAKE UP</t>
  </si>
  <si>
    <t>J0306</t>
  </si>
  <si>
    <t>TRATAMIENTOS</t>
  </si>
  <si>
    <t>J0306-TRATAMIENTOS</t>
  </si>
  <si>
    <t>J0307</t>
  </si>
  <si>
    <t>COMBOS</t>
  </si>
  <si>
    <t>J0307-COMBOS</t>
  </si>
  <si>
    <t>J0308</t>
  </si>
  <si>
    <t>J0308-DESODORANTES</t>
  </si>
  <si>
    <t>J0309</t>
  </si>
  <si>
    <t>J0309-DENTALES</t>
  </si>
  <si>
    <t>J0310</t>
  </si>
  <si>
    <t>CUIDADO MASCULINO</t>
  </si>
  <si>
    <t>J0310-CUIDADO MASCULINO</t>
  </si>
  <si>
    <t>J0311</t>
  </si>
  <si>
    <t>MAMA Y BEBE</t>
  </si>
  <si>
    <t>J0311-MAMA Y BEBE</t>
  </si>
  <si>
    <t>004</t>
  </si>
  <si>
    <t>J0401</t>
  </si>
  <si>
    <t>LIMPIEZA</t>
  </si>
  <si>
    <t>J0401-LIMPIEZA</t>
  </si>
  <si>
    <t>J0402</t>
  </si>
  <si>
    <t>DESODORANTES DE AMBIENTE</t>
  </si>
  <si>
    <t>J0402-DESODORANTES DE AMBIENTE</t>
  </si>
  <si>
    <t>J0403</t>
  </si>
  <si>
    <t>OUTDOOR</t>
  </si>
  <si>
    <t>J0403-OUTDOOR</t>
  </si>
  <si>
    <t>J0404</t>
  </si>
  <si>
    <t>J0404-ACCESORIOS</t>
  </si>
  <si>
    <t>J0405</t>
  </si>
  <si>
    <t>ELECTRO HOGAR</t>
  </si>
  <si>
    <t>J0405-ELECTRO HOGAR</t>
  </si>
  <si>
    <t>J0501</t>
  </si>
  <si>
    <t>GOLOSINAS</t>
  </si>
  <si>
    <t>J0501-GOLOSINAS</t>
  </si>
  <si>
    <t>S3</t>
  </si>
  <si>
    <t>005</t>
  </si>
  <si>
    <t>J0502</t>
  </si>
  <si>
    <t>GALLETAS Y SNACKS</t>
  </si>
  <si>
    <t>J0502-GALLETAS Y SNACKS</t>
  </si>
  <si>
    <t>J0503</t>
  </si>
  <si>
    <t>BEBIDAS</t>
  </si>
  <si>
    <t>J0503-BEBIDAS</t>
  </si>
  <si>
    <t>J0601</t>
  </si>
  <si>
    <t>GABINETE</t>
  </si>
  <si>
    <t>J0601-GABINETE</t>
  </si>
  <si>
    <t>S4</t>
  </si>
  <si>
    <t>006</t>
  </si>
  <si>
    <t>J0602</t>
  </si>
  <si>
    <t>ENVIOS</t>
  </si>
  <si>
    <t>J0602-ENVIOS</t>
  </si>
  <si>
    <t>J0603</t>
  </si>
  <si>
    <t>BONOS</t>
  </si>
  <si>
    <t>J0603-BONOS</t>
  </si>
  <si>
    <t>J0604</t>
  </si>
  <si>
    <t>LABORATORIO</t>
  </si>
  <si>
    <t>J0604-LABORATORIO</t>
  </si>
  <si>
    <t>J0605</t>
  </si>
  <si>
    <t>CUOTAS</t>
  </si>
  <si>
    <t>J0605-CUOTAS</t>
  </si>
  <si>
    <t>J0606</t>
  </si>
  <si>
    <t>DISPENSAS</t>
  </si>
  <si>
    <t>J0606-DISPENSAS</t>
  </si>
  <si>
    <t>J0607</t>
  </si>
  <si>
    <t>OBSBA</t>
  </si>
  <si>
    <t>J0607-OBSBA</t>
  </si>
  <si>
    <t>J0608</t>
  </si>
  <si>
    <t>PRUEBA</t>
  </si>
  <si>
    <t>J0608-PRUEBA</t>
  </si>
  <si>
    <t>J0609</t>
  </si>
  <si>
    <t>EXENTO</t>
  </si>
  <si>
    <t>J0609-EXENTO</t>
  </si>
  <si>
    <t>J0701</t>
  </si>
  <si>
    <t>BOLSAS</t>
  </si>
  <si>
    <t>J0701-BOLSAS</t>
  </si>
  <si>
    <t>007</t>
  </si>
  <si>
    <t>J0702</t>
  </si>
  <si>
    <t>INDUMENTARIA</t>
  </si>
  <si>
    <t>J0702-INDUMENTARIA</t>
  </si>
  <si>
    <t>J0703</t>
  </si>
  <si>
    <t>ALARMAS</t>
  </si>
  <si>
    <t>J0703-ALARMAS</t>
  </si>
  <si>
    <t>J0704</t>
  </si>
  <si>
    <t>CINTAS</t>
  </si>
  <si>
    <t>J0704-CINTAS</t>
  </si>
  <si>
    <t>J0705</t>
  </si>
  <si>
    <t>ROLLOS</t>
  </si>
  <si>
    <t>J0705-ROLLOS</t>
  </si>
  <si>
    <t>J0706</t>
  </si>
  <si>
    <t xml:space="preserve">RESMAS </t>
  </si>
  <si>
    <t>J0706-RESMAS</t>
  </si>
  <si>
    <t>J0707</t>
  </si>
  <si>
    <t>J0707-LABORATORIO</t>
  </si>
  <si>
    <t>J0708</t>
  </si>
  <si>
    <t>CORDON</t>
  </si>
  <si>
    <t>J0708-CORDON</t>
  </si>
  <si>
    <t>J0709</t>
  </si>
  <si>
    <t>INSUMOS MKT</t>
  </si>
  <si>
    <t>J0709-INSUMOS MKT</t>
  </si>
  <si>
    <t>J0801</t>
  </si>
  <si>
    <t>MATERIA PRIMA</t>
  </si>
  <si>
    <t>J0801-MATERIA PRIMA</t>
  </si>
  <si>
    <t>J0901</t>
  </si>
  <si>
    <t>PREPARADO MAGISTRAL</t>
  </si>
  <si>
    <t>J0901-PREPARADO MAGISTRAL</t>
  </si>
  <si>
    <t>J1001</t>
  </si>
  <si>
    <t>J1001-COMBOS</t>
  </si>
  <si>
    <t>J1101</t>
  </si>
  <si>
    <t>MAT NO ALMACEN</t>
  </si>
  <si>
    <t>J1101-MAT NO ALMACEN</t>
  </si>
  <si>
    <t>S5</t>
  </si>
  <si>
    <t>J1201</t>
  </si>
  <si>
    <t>MAT NO VALORADO</t>
  </si>
  <si>
    <t>J1201-MAT NO VALORADO</t>
  </si>
  <si>
    <t>Clasificacion fiscal (Org. Ventas)</t>
  </si>
  <si>
    <t>Ident. Imp. Mat (COMPRAS)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</si>
</sst>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1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wrapText="1"/>
    </xf>
    <xf numFmtId="0" fontId="1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5" borderId="0" xfId="0" applyFont="1" applyFill="1"/>
    <xf numFmtId="0" fontId="1" fillId="0" borderId="3" xfId="0" quotePrefix="1" applyFont="1" applyBorder="1" applyAlignment="1">
      <alignment horizontal="center" vertical="center"/>
    </xf>
    <xf numFmtId="0" fontId="1" fillId="4" borderId="0" xfId="0" applyFont="1" applyFill="1"/>
    <xf numFmtId="0" fontId="1" fillId="5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3" xfId="0" quotePrefix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3" xfId="0" quotePrefix="1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3" xfId="0" quotePrefix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7" borderId="6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9B1A4-D30B-4308-8251-D7D9CAE12DE3}">
  <sheetPr codeName="Hoja1">
    <tabColor rgb="FF92D050"/>
  </sheetPr>
  <dimension ref="A1:AX66"/>
  <sheetViews>
    <sheetView tabSelected="1" zoomScaleNormal="110" zoomScaleSheetLayoutView="90" workbookViewId="0">
      <pane ySplit="1" topLeftCell="A2" activePane="bottomLeft" state="frozen"/>
      <selection pane="bottomLeft" activeCell="W24" sqref="W24"/>
    </sheetView>
  </sheetViews>
  <sheetFormatPr baseColWidth="10" defaultColWidth="11.44140625" defaultRowHeight="12" x14ac:dyDescent="0.25"/>
  <cols>
    <col min="1" max="1" width="11.44140625" style="33" bestFit="1" customWidth="1"/>
    <col min="2" max="3" width="32.109375" style="7" bestFit="1" customWidth="1"/>
    <col min="4" max="4" width="18" style="7" bestFit="1" customWidth="1"/>
    <col min="5" max="5" width="10.88671875" style="27" customWidth="1"/>
    <col min="6" max="7" width="13.88671875" style="27" customWidth="1"/>
    <col min="8" max="8" width="15.88671875" style="34" customWidth="1"/>
    <col min="9" max="9" width="11.44140625" style="7"/>
    <col min="10" max="10" width="14.44140625" style="7" bestFit="1" customWidth="1"/>
    <col min="11" max="11" width="20.44140625" style="7" customWidth="1"/>
    <col min="12" max="12" width="18" style="7" customWidth="1"/>
    <col min="13" max="14" width="11.109375" style="7" bestFit="1" customWidth="1"/>
    <col min="15" max="15" width="11.44140625" style="7"/>
    <col min="16" max="16" width="14.109375" style="7" customWidth="1"/>
    <col min="17" max="17" width="11.44140625" style="7"/>
    <col min="18" max="18" width="17.5546875" style="7" bestFit="1" customWidth="1"/>
    <col min="19" max="24" width="11.44140625" style="7"/>
    <col min="25" max="25" width="13.5546875" style="7" customWidth="1"/>
    <col min="26" max="27" width="0" style="7" hidden="1" customWidth="1"/>
    <col min="28" max="28" width="24.88671875" style="7" hidden="1" customWidth="1"/>
    <col min="29" max="29" width="0" style="7" hidden="1" customWidth="1"/>
    <col min="30" max="16384" width="11.44140625" style="7"/>
  </cols>
  <sheetData>
    <row r="1" spans="1:28" s="4" customFormat="1" ht="24" x14ac:dyDescent="0.25">
      <c r="A1" s="1"/>
      <c r="B1" s="1"/>
      <c r="C1" s="1"/>
      <c r="D1" s="1"/>
      <c r="E1" s="2" t="s">
        <v>0</v>
      </c>
      <c r="F1" s="2" t="s">
        <v>1</v>
      </c>
      <c r="G1" s="2" t="s">
        <v>2</v>
      </c>
      <c r="H1" s="3" t="s">
        <v>3</v>
      </c>
      <c r="J1" s="5" t="s">
        <v>4</v>
      </c>
      <c r="K1" s="5" t="s">
        <v>5</v>
      </c>
      <c r="L1" s="6" t="s">
        <v>6</v>
      </c>
      <c r="N1" s="8" t="s">
        <v>7</v>
      </c>
      <c r="O1" s="8" t="s">
        <v>8</v>
      </c>
      <c r="P1" s="8" t="s">
        <v>9</v>
      </c>
      <c r="Q1" s="8" t="s">
        <v>10</v>
      </c>
      <c r="R1" s="8" t="s">
        <v>11</v>
      </c>
      <c r="T1" s="8" t="s">
        <v>12</v>
      </c>
      <c r="U1" s="8" t="s">
        <v>13</v>
      </c>
      <c r="W1" s="53" t="s">
        <v>276</v>
      </c>
      <c r="X1" s="53"/>
      <c r="Y1" s="53"/>
      <c r="AA1" s="9">
        <v>1</v>
      </c>
      <c r="AB1" s="9" t="s">
        <v>15</v>
      </c>
    </row>
    <row r="2" spans="1:28" x14ac:dyDescent="0.25">
      <c r="A2" s="10" t="s">
        <v>16</v>
      </c>
      <c r="B2" s="11" t="s">
        <v>16</v>
      </c>
      <c r="C2" s="11" t="s">
        <v>16</v>
      </c>
      <c r="D2" s="11" t="s">
        <v>17</v>
      </c>
      <c r="E2" s="12" t="s">
        <v>18</v>
      </c>
      <c r="F2" s="12" t="s">
        <v>19</v>
      </c>
      <c r="G2" s="13" t="s">
        <v>20</v>
      </c>
      <c r="H2" s="14" t="s">
        <v>21</v>
      </c>
      <c r="J2" s="11" t="s">
        <v>22</v>
      </c>
      <c r="K2" s="11" t="s">
        <v>23</v>
      </c>
      <c r="L2" s="11" t="s">
        <v>24</v>
      </c>
      <c r="N2" s="15" t="s">
        <v>25</v>
      </c>
      <c r="O2" s="15">
        <v>1</v>
      </c>
      <c r="P2" s="15" t="str">
        <f>CONCATENATE(N2,O2)</f>
        <v>ZMED1</v>
      </c>
      <c r="Q2" s="16" t="s">
        <v>26</v>
      </c>
      <c r="R2" s="17" t="s">
        <v>27</v>
      </c>
      <c r="T2" s="36" t="s">
        <v>28</v>
      </c>
      <c r="U2" s="37" t="s">
        <v>29</v>
      </c>
      <c r="W2" s="45" t="s">
        <v>8</v>
      </c>
      <c r="X2" s="46" t="s">
        <v>14</v>
      </c>
      <c r="Y2" s="46" t="s">
        <v>7</v>
      </c>
      <c r="AA2" s="18">
        <v>2</v>
      </c>
      <c r="AB2" s="18" t="s">
        <v>31</v>
      </c>
    </row>
    <row r="3" spans="1:28" x14ac:dyDescent="0.25">
      <c r="A3" s="10" t="s">
        <v>32</v>
      </c>
      <c r="B3" s="11" t="s">
        <v>33</v>
      </c>
      <c r="C3" s="11" t="s">
        <v>34</v>
      </c>
      <c r="D3" s="11" t="s">
        <v>25</v>
      </c>
      <c r="E3" s="12" t="s">
        <v>35</v>
      </c>
      <c r="F3" s="12" t="s">
        <v>36</v>
      </c>
      <c r="G3" s="13" t="s">
        <v>28</v>
      </c>
      <c r="H3" s="14" t="s">
        <v>37</v>
      </c>
      <c r="J3" s="11" t="s">
        <v>38</v>
      </c>
      <c r="K3" s="11" t="s">
        <v>39</v>
      </c>
      <c r="L3" s="11" t="s">
        <v>24</v>
      </c>
      <c r="N3" s="15" t="s">
        <v>25</v>
      </c>
      <c r="O3" s="15">
        <v>3</v>
      </c>
      <c r="P3" s="15" t="str">
        <f t="shared" ref="P3:P18" si="0">CONCATENATE(N3,O3)</f>
        <v>ZMED3</v>
      </c>
      <c r="Q3" s="19" t="s">
        <v>40</v>
      </c>
      <c r="R3" s="15" t="s">
        <v>41</v>
      </c>
      <c r="T3" s="36" t="s">
        <v>28</v>
      </c>
      <c r="U3" s="37" t="s">
        <v>42</v>
      </c>
      <c r="W3" s="47">
        <v>1</v>
      </c>
      <c r="X3" s="47">
        <v>6</v>
      </c>
      <c r="Y3" s="47" t="s">
        <v>30</v>
      </c>
      <c r="AA3" s="20">
        <v>3</v>
      </c>
      <c r="AB3" s="20" t="s">
        <v>43</v>
      </c>
    </row>
    <row r="4" spans="1:28" x14ac:dyDescent="0.25">
      <c r="A4" s="10" t="s">
        <v>44</v>
      </c>
      <c r="B4" s="11" t="s">
        <v>45</v>
      </c>
      <c r="C4" s="21" t="s">
        <v>46</v>
      </c>
      <c r="D4" s="11" t="s">
        <v>25</v>
      </c>
      <c r="E4" s="12" t="s">
        <v>35</v>
      </c>
      <c r="F4" s="12" t="s">
        <v>36</v>
      </c>
      <c r="G4" s="13" t="s">
        <v>28</v>
      </c>
      <c r="H4" s="14" t="s">
        <v>37</v>
      </c>
      <c r="J4" s="11" t="s">
        <v>25</v>
      </c>
      <c r="K4" s="11" t="s">
        <v>47</v>
      </c>
      <c r="L4" s="11" t="s">
        <v>24</v>
      </c>
      <c r="N4" s="15" t="s">
        <v>48</v>
      </c>
      <c r="O4" s="15">
        <v>3</v>
      </c>
      <c r="P4" s="15" t="str">
        <f t="shared" si="0"/>
        <v>ZSER3</v>
      </c>
      <c r="Q4" s="19" t="s">
        <v>49</v>
      </c>
      <c r="R4" s="15" t="s">
        <v>50</v>
      </c>
      <c r="T4" s="36" t="s">
        <v>28</v>
      </c>
      <c r="U4" s="37" t="s">
        <v>51</v>
      </c>
      <c r="W4" s="48">
        <v>2</v>
      </c>
      <c r="X4" s="48">
        <v>3</v>
      </c>
      <c r="Y4" s="48" t="s">
        <v>43</v>
      </c>
      <c r="AA4" s="18">
        <v>4</v>
      </c>
      <c r="AB4" s="18" t="s">
        <v>52</v>
      </c>
    </row>
    <row r="5" spans="1:28" x14ac:dyDescent="0.25">
      <c r="A5" s="10" t="s">
        <v>53</v>
      </c>
      <c r="B5" s="11" t="s">
        <v>54</v>
      </c>
      <c r="C5" s="21" t="s">
        <v>55</v>
      </c>
      <c r="D5" s="11" t="s">
        <v>56</v>
      </c>
      <c r="E5" s="12" t="s">
        <v>57</v>
      </c>
      <c r="F5" s="12" t="s">
        <v>36</v>
      </c>
      <c r="G5" s="13" t="s">
        <v>28</v>
      </c>
      <c r="H5" s="14" t="s">
        <v>37</v>
      </c>
      <c r="J5" s="11" t="s">
        <v>56</v>
      </c>
      <c r="K5" s="11" t="s">
        <v>58</v>
      </c>
      <c r="L5" s="11" t="s">
        <v>24</v>
      </c>
      <c r="N5" s="15" t="s">
        <v>48</v>
      </c>
      <c r="O5" s="15">
        <v>1</v>
      </c>
      <c r="P5" s="15" t="str">
        <f t="shared" si="0"/>
        <v>ZSER1</v>
      </c>
      <c r="Q5" s="19" t="s">
        <v>59</v>
      </c>
      <c r="R5" s="15" t="s">
        <v>60</v>
      </c>
      <c r="T5" s="36" t="s">
        <v>28</v>
      </c>
      <c r="U5" s="37" t="s">
        <v>61</v>
      </c>
      <c r="W5" s="49">
        <v>3</v>
      </c>
      <c r="X5" s="49">
        <v>1</v>
      </c>
      <c r="Y5" s="49" t="s">
        <v>15</v>
      </c>
      <c r="AA5" s="18">
        <v>5</v>
      </c>
      <c r="AB5" s="18" t="s">
        <v>62</v>
      </c>
    </row>
    <row r="6" spans="1:28" x14ac:dyDescent="0.25">
      <c r="A6" s="10" t="s">
        <v>63</v>
      </c>
      <c r="B6" s="11" t="s">
        <v>64</v>
      </c>
      <c r="C6" s="21" t="s">
        <v>65</v>
      </c>
      <c r="D6" s="11" t="s">
        <v>56</v>
      </c>
      <c r="E6" s="22" t="s">
        <v>57</v>
      </c>
      <c r="F6" s="22" t="s">
        <v>36</v>
      </c>
      <c r="G6" s="23" t="s">
        <v>28</v>
      </c>
      <c r="H6" s="24" t="s">
        <v>37</v>
      </c>
      <c r="J6" s="11" t="s">
        <v>66</v>
      </c>
      <c r="K6" s="11" t="s">
        <v>67</v>
      </c>
      <c r="L6" s="11" t="s">
        <v>68</v>
      </c>
      <c r="N6" s="15" t="s">
        <v>56</v>
      </c>
      <c r="O6" s="15">
        <v>2</v>
      </c>
      <c r="P6" s="15" t="str">
        <f t="shared" si="0"/>
        <v>ZNOM2</v>
      </c>
      <c r="Q6" s="19" t="s">
        <v>69</v>
      </c>
      <c r="R6" s="15" t="s">
        <v>70</v>
      </c>
      <c r="T6" s="36" t="s">
        <v>28</v>
      </c>
      <c r="U6" s="37" t="s">
        <v>71</v>
      </c>
      <c r="W6" s="52" t="s">
        <v>275</v>
      </c>
      <c r="X6" s="52"/>
      <c r="Y6" s="52"/>
      <c r="AA6" s="20">
        <v>6</v>
      </c>
      <c r="AB6" s="20" t="s">
        <v>30</v>
      </c>
    </row>
    <row r="7" spans="1:28" x14ac:dyDescent="0.25">
      <c r="A7" s="25" t="s">
        <v>73</v>
      </c>
      <c r="B7" s="11" t="s">
        <v>74</v>
      </c>
      <c r="C7" s="21" t="s">
        <v>75</v>
      </c>
      <c r="D7" s="11" t="s">
        <v>56</v>
      </c>
      <c r="E7" s="12" t="s">
        <v>57</v>
      </c>
      <c r="F7" s="12" t="s">
        <v>36</v>
      </c>
      <c r="G7" s="13" t="s">
        <v>28</v>
      </c>
      <c r="H7" s="14" t="s">
        <v>37</v>
      </c>
      <c r="J7" s="11" t="s">
        <v>48</v>
      </c>
      <c r="K7" s="11" t="s">
        <v>76</v>
      </c>
      <c r="L7" s="11" t="s">
        <v>77</v>
      </c>
      <c r="N7" s="15" t="s">
        <v>56</v>
      </c>
      <c r="O7" s="15">
        <v>3</v>
      </c>
      <c r="P7" s="15" t="str">
        <f>CONCATENATE(N7,O7)</f>
        <v>ZNOM3</v>
      </c>
      <c r="Q7" s="19" t="s">
        <v>69</v>
      </c>
      <c r="R7" s="15" t="s">
        <v>70</v>
      </c>
      <c r="T7" s="38" t="s">
        <v>72</v>
      </c>
      <c r="U7" s="39" t="s">
        <v>78</v>
      </c>
      <c r="W7" s="50" t="s">
        <v>8</v>
      </c>
      <c r="X7" s="51" t="s">
        <v>14</v>
      </c>
      <c r="Y7" s="51" t="s">
        <v>7</v>
      </c>
      <c r="AA7" s="18">
        <v>7</v>
      </c>
      <c r="AB7" s="18" t="s">
        <v>80</v>
      </c>
    </row>
    <row r="8" spans="1:28" x14ac:dyDescent="0.25">
      <c r="A8" s="10" t="s">
        <v>81</v>
      </c>
      <c r="B8" s="11" t="s">
        <v>82</v>
      </c>
      <c r="C8" s="21" t="s">
        <v>83</v>
      </c>
      <c r="D8" s="11" t="s">
        <v>56</v>
      </c>
      <c r="E8" s="12" t="s">
        <v>57</v>
      </c>
      <c r="F8" s="12" t="s">
        <v>36</v>
      </c>
      <c r="G8" s="13" t="s">
        <v>28</v>
      </c>
      <c r="H8" s="14" t="s">
        <v>37</v>
      </c>
      <c r="J8" s="11" t="s">
        <v>84</v>
      </c>
      <c r="K8" s="11" t="s">
        <v>85</v>
      </c>
      <c r="L8" s="11" t="s">
        <v>24</v>
      </c>
      <c r="N8" s="15" t="s">
        <v>86</v>
      </c>
      <c r="O8" s="15">
        <v>3</v>
      </c>
      <c r="P8" s="15" t="str">
        <f t="shared" si="0"/>
        <v>ZINS3</v>
      </c>
      <c r="Q8" s="19" t="s">
        <v>69</v>
      </c>
      <c r="R8" s="15" t="s">
        <v>70</v>
      </c>
      <c r="T8" s="38" t="s">
        <v>72</v>
      </c>
      <c r="U8" s="39" t="s">
        <v>87</v>
      </c>
      <c r="W8" s="48">
        <v>1</v>
      </c>
      <c r="X8" s="48">
        <v>0</v>
      </c>
      <c r="Y8" s="48" t="s">
        <v>79</v>
      </c>
    </row>
    <row r="9" spans="1:28" x14ac:dyDescent="0.25">
      <c r="A9" s="25" t="s">
        <v>90</v>
      </c>
      <c r="B9" s="11" t="s">
        <v>91</v>
      </c>
      <c r="C9" s="21" t="s">
        <v>92</v>
      </c>
      <c r="D9" s="11" t="s">
        <v>25</v>
      </c>
      <c r="E9" s="12" t="s">
        <v>35</v>
      </c>
      <c r="F9" s="12" t="s">
        <v>36</v>
      </c>
      <c r="G9" s="13" t="s">
        <v>28</v>
      </c>
      <c r="H9" s="14" t="s">
        <v>37</v>
      </c>
      <c r="J9" s="11" t="s">
        <v>86</v>
      </c>
      <c r="K9" s="11" t="s">
        <v>93</v>
      </c>
      <c r="L9" s="11" t="s">
        <v>24</v>
      </c>
      <c r="N9" s="15" t="s">
        <v>22</v>
      </c>
      <c r="O9" s="15">
        <v>2</v>
      </c>
      <c r="P9" s="15" t="str">
        <f t="shared" si="0"/>
        <v>ZMAT2</v>
      </c>
      <c r="Q9" s="19" t="s">
        <v>69</v>
      </c>
      <c r="R9" s="15" t="s">
        <v>70</v>
      </c>
      <c r="T9" s="38" t="s">
        <v>72</v>
      </c>
      <c r="U9" s="39" t="s">
        <v>94</v>
      </c>
      <c r="W9" s="48">
        <v>2</v>
      </c>
      <c r="X9" s="48">
        <v>2</v>
      </c>
      <c r="Y9" s="48" t="s">
        <v>89</v>
      </c>
    </row>
    <row r="10" spans="1:28" x14ac:dyDescent="0.25">
      <c r="A10" s="25" t="s">
        <v>96</v>
      </c>
      <c r="B10" s="11" t="s">
        <v>97</v>
      </c>
      <c r="C10" s="21" t="s">
        <v>98</v>
      </c>
      <c r="D10" s="11" t="s">
        <v>25</v>
      </c>
      <c r="E10" s="12" t="s">
        <v>35</v>
      </c>
      <c r="F10" s="12" t="s">
        <v>36</v>
      </c>
      <c r="G10" s="13" t="s">
        <v>28</v>
      </c>
      <c r="H10" s="14" t="s">
        <v>37</v>
      </c>
      <c r="J10" s="11" t="s">
        <v>99</v>
      </c>
      <c r="K10" s="11" t="s">
        <v>100</v>
      </c>
      <c r="L10" s="11" t="s">
        <v>101</v>
      </c>
      <c r="N10" s="15" t="s">
        <v>22</v>
      </c>
      <c r="O10" s="15">
        <v>3</v>
      </c>
      <c r="P10" s="15" t="str">
        <f t="shared" si="0"/>
        <v>ZMAT3</v>
      </c>
      <c r="Q10" s="19" t="s">
        <v>69</v>
      </c>
      <c r="R10" s="15" t="s">
        <v>70</v>
      </c>
      <c r="T10" s="40" t="s">
        <v>88</v>
      </c>
      <c r="U10" s="41" t="s">
        <v>102</v>
      </c>
      <c r="W10" s="48">
        <v>3</v>
      </c>
      <c r="X10" s="48">
        <v>1</v>
      </c>
      <c r="Y10" s="48" t="s">
        <v>95</v>
      </c>
    </row>
    <row r="11" spans="1:28" x14ac:dyDescent="0.25">
      <c r="A11" s="10" t="s">
        <v>104</v>
      </c>
      <c r="B11" s="11" t="s">
        <v>105</v>
      </c>
      <c r="C11" s="11" t="s">
        <v>106</v>
      </c>
      <c r="D11" s="11" t="s">
        <v>25</v>
      </c>
      <c r="E11" s="12" t="s">
        <v>35</v>
      </c>
      <c r="F11" s="12" t="s">
        <v>36</v>
      </c>
      <c r="G11" s="13" t="s">
        <v>28</v>
      </c>
      <c r="H11" s="14" t="s">
        <v>37</v>
      </c>
      <c r="N11" s="15" t="s">
        <v>38</v>
      </c>
      <c r="O11" s="15">
        <v>2</v>
      </c>
      <c r="P11" s="15" t="str">
        <f t="shared" si="0"/>
        <v>ZPMA2</v>
      </c>
      <c r="Q11" s="19" t="s">
        <v>69</v>
      </c>
      <c r="R11" s="15" t="s">
        <v>70</v>
      </c>
      <c r="T11" s="40" t="s">
        <v>88</v>
      </c>
      <c r="U11" s="41" t="s">
        <v>107</v>
      </c>
      <c r="W11" s="48"/>
      <c r="X11" s="48">
        <v>3</v>
      </c>
      <c r="Y11" s="48" t="s">
        <v>103</v>
      </c>
    </row>
    <row r="12" spans="1:28" x14ac:dyDescent="0.25">
      <c r="A12" s="25" t="s">
        <v>108</v>
      </c>
      <c r="B12" s="11" t="s">
        <v>109</v>
      </c>
      <c r="C12" s="21" t="s">
        <v>110</v>
      </c>
      <c r="D12" s="11" t="s">
        <v>56</v>
      </c>
      <c r="E12" s="12" t="s">
        <v>57</v>
      </c>
      <c r="F12" s="12" t="s">
        <v>36</v>
      </c>
      <c r="G12" s="13" t="s">
        <v>28</v>
      </c>
      <c r="H12" s="14" t="s">
        <v>37</v>
      </c>
      <c r="N12" s="15" t="s">
        <v>38</v>
      </c>
      <c r="O12" s="15">
        <v>3</v>
      </c>
      <c r="P12" s="15" t="str">
        <f t="shared" si="0"/>
        <v>ZPMA3</v>
      </c>
      <c r="Q12" s="19" t="s">
        <v>69</v>
      </c>
      <c r="R12" s="15" t="s">
        <v>70</v>
      </c>
    </row>
    <row r="13" spans="1:28" x14ac:dyDescent="0.25">
      <c r="A13" s="10" t="s">
        <v>111</v>
      </c>
      <c r="B13" s="11" t="s">
        <v>112</v>
      </c>
      <c r="C13" s="11" t="s">
        <v>113</v>
      </c>
      <c r="D13" s="11" t="s">
        <v>56</v>
      </c>
      <c r="E13" s="12" t="s">
        <v>57</v>
      </c>
      <c r="F13" s="12" t="s">
        <v>36</v>
      </c>
      <c r="G13" s="13" t="s">
        <v>88</v>
      </c>
      <c r="H13" s="14" t="s">
        <v>114</v>
      </c>
      <c r="N13" s="15" t="s">
        <v>66</v>
      </c>
      <c r="O13" s="15">
        <v>2</v>
      </c>
      <c r="P13" s="15" t="str">
        <f t="shared" si="0"/>
        <v>ZCOM2</v>
      </c>
      <c r="Q13" s="19" t="s">
        <v>69</v>
      </c>
      <c r="R13" s="15" t="s">
        <v>70</v>
      </c>
    </row>
    <row r="14" spans="1:28" x14ac:dyDescent="0.25">
      <c r="A14" s="10" t="s">
        <v>115</v>
      </c>
      <c r="B14" s="11" t="s">
        <v>116</v>
      </c>
      <c r="C14" s="11" t="s">
        <v>117</v>
      </c>
      <c r="D14" s="11" t="s">
        <v>56</v>
      </c>
      <c r="E14" s="12" t="s">
        <v>57</v>
      </c>
      <c r="F14" s="12" t="s">
        <v>36</v>
      </c>
      <c r="G14" s="13" t="s">
        <v>88</v>
      </c>
      <c r="H14" s="14" t="s">
        <v>114</v>
      </c>
      <c r="N14" s="15" t="s">
        <v>66</v>
      </c>
      <c r="O14" s="15">
        <v>3</v>
      </c>
      <c r="P14" s="15" t="str">
        <f t="shared" si="0"/>
        <v>ZCOM3</v>
      </c>
      <c r="Q14" s="19" t="s">
        <v>69</v>
      </c>
      <c r="R14" s="15" t="s">
        <v>70</v>
      </c>
    </row>
    <row r="15" spans="1:28" x14ac:dyDescent="0.25">
      <c r="A15" s="10" t="s">
        <v>118</v>
      </c>
      <c r="B15" s="11" t="s">
        <v>119</v>
      </c>
      <c r="C15" s="11" t="s">
        <v>120</v>
      </c>
      <c r="D15" s="11" t="s">
        <v>56</v>
      </c>
      <c r="E15" s="12" t="s">
        <v>57</v>
      </c>
      <c r="F15" s="12" t="s">
        <v>36</v>
      </c>
      <c r="G15" s="13" t="s">
        <v>88</v>
      </c>
      <c r="H15" s="14" t="s">
        <v>114</v>
      </c>
      <c r="N15" s="15" t="s">
        <v>99</v>
      </c>
      <c r="O15" s="15">
        <v>2</v>
      </c>
      <c r="P15" s="15" t="str">
        <f t="shared" si="0"/>
        <v>ZNOA2</v>
      </c>
      <c r="Q15" s="19" t="s">
        <v>69</v>
      </c>
      <c r="R15" s="15" t="s">
        <v>70</v>
      </c>
    </row>
    <row r="16" spans="1:28" x14ac:dyDescent="0.25">
      <c r="A16" s="10" t="s">
        <v>121</v>
      </c>
      <c r="B16" s="11" t="s">
        <v>122</v>
      </c>
      <c r="C16" s="11" t="s">
        <v>123</v>
      </c>
      <c r="D16" s="11" t="s">
        <v>56</v>
      </c>
      <c r="E16" s="12" t="s">
        <v>57</v>
      </c>
      <c r="F16" s="12" t="s">
        <v>36</v>
      </c>
      <c r="G16" s="13" t="s">
        <v>88</v>
      </c>
      <c r="H16" s="14" t="s">
        <v>114</v>
      </c>
      <c r="N16" s="15" t="s">
        <v>99</v>
      </c>
      <c r="O16" s="15">
        <v>3</v>
      </c>
      <c r="P16" s="15" t="str">
        <f t="shared" si="0"/>
        <v>ZNOA3</v>
      </c>
      <c r="Q16" s="19" t="s">
        <v>69</v>
      </c>
      <c r="R16" s="15" t="s">
        <v>70</v>
      </c>
    </row>
    <row r="17" spans="1:18" x14ac:dyDescent="0.25">
      <c r="A17" s="10" t="s">
        <v>124</v>
      </c>
      <c r="B17" s="11" t="s">
        <v>125</v>
      </c>
      <c r="C17" s="11" t="s">
        <v>126</v>
      </c>
      <c r="D17" s="11" t="s">
        <v>56</v>
      </c>
      <c r="E17" s="12" t="s">
        <v>57</v>
      </c>
      <c r="F17" s="12" t="s">
        <v>36</v>
      </c>
      <c r="G17" s="13" t="s">
        <v>88</v>
      </c>
      <c r="H17" s="14" t="s">
        <v>114</v>
      </c>
      <c r="N17" s="15" t="s">
        <v>84</v>
      </c>
      <c r="O17" s="15">
        <v>2</v>
      </c>
      <c r="P17" s="15" t="str">
        <f t="shared" si="0"/>
        <v>ZNOV2</v>
      </c>
      <c r="Q17" s="19" t="s">
        <v>69</v>
      </c>
      <c r="R17" s="15" t="s">
        <v>70</v>
      </c>
    </row>
    <row r="18" spans="1:18" x14ac:dyDescent="0.25">
      <c r="A18" s="10" t="s">
        <v>127</v>
      </c>
      <c r="B18" s="11" t="s">
        <v>128</v>
      </c>
      <c r="C18" s="11" t="s">
        <v>129</v>
      </c>
      <c r="D18" s="11" t="s">
        <v>56</v>
      </c>
      <c r="E18" s="12" t="s">
        <v>57</v>
      </c>
      <c r="F18" s="12" t="s">
        <v>36</v>
      </c>
      <c r="G18" s="13" t="s">
        <v>88</v>
      </c>
      <c r="H18" s="14" t="s">
        <v>114</v>
      </c>
      <c r="N18" s="15" t="s">
        <v>84</v>
      </c>
      <c r="O18" s="15">
        <v>3</v>
      </c>
      <c r="P18" s="15" t="str">
        <f t="shared" si="0"/>
        <v>ZNOV3</v>
      </c>
      <c r="Q18" s="19" t="s">
        <v>69</v>
      </c>
      <c r="R18" s="15" t="s">
        <v>70</v>
      </c>
    </row>
    <row r="19" spans="1:18" x14ac:dyDescent="0.25">
      <c r="A19" s="10" t="s">
        <v>131</v>
      </c>
      <c r="B19" s="11" t="s">
        <v>132</v>
      </c>
      <c r="C19" s="11" t="s">
        <v>133</v>
      </c>
      <c r="D19" s="11" t="s">
        <v>56</v>
      </c>
      <c r="E19" s="12" t="s">
        <v>57</v>
      </c>
      <c r="F19" s="12" t="s">
        <v>36</v>
      </c>
      <c r="G19" s="13" t="s">
        <v>88</v>
      </c>
      <c r="H19" s="14" t="s">
        <v>114</v>
      </c>
      <c r="N19" s="15"/>
      <c r="O19" s="15"/>
      <c r="P19" s="15"/>
      <c r="Q19" s="16"/>
      <c r="R19" s="17"/>
    </row>
    <row r="20" spans="1:18" x14ac:dyDescent="0.25">
      <c r="A20" s="10" t="s">
        <v>134</v>
      </c>
      <c r="B20" s="11" t="s">
        <v>135</v>
      </c>
      <c r="C20" s="11" t="s">
        <v>136</v>
      </c>
      <c r="D20" s="11" t="s">
        <v>56</v>
      </c>
      <c r="E20" s="12" t="s">
        <v>57</v>
      </c>
      <c r="F20" s="12" t="s">
        <v>36</v>
      </c>
      <c r="G20" s="13" t="s">
        <v>88</v>
      </c>
      <c r="H20" s="14" t="s">
        <v>114</v>
      </c>
    </row>
    <row r="21" spans="1:18" x14ac:dyDescent="0.25">
      <c r="A21" s="10" t="s">
        <v>137</v>
      </c>
      <c r="B21" s="11" t="s">
        <v>138</v>
      </c>
      <c r="C21" s="11" t="s">
        <v>139</v>
      </c>
      <c r="D21" s="11" t="s">
        <v>56</v>
      </c>
      <c r="E21" s="12" t="s">
        <v>57</v>
      </c>
      <c r="F21" s="12" t="s">
        <v>36</v>
      </c>
      <c r="G21" s="13" t="s">
        <v>88</v>
      </c>
      <c r="H21" s="14" t="s">
        <v>114</v>
      </c>
    </row>
    <row r="22" spans="1:18" x14ac:dyDescent="0.25">
      <c r="A22" s="10" t="s">
        <v>140</v>
      </c>
      <c r="B22" s="11" t="s">
        <v>141</v>
      </c>
      <c r="C22" s="11" t="s">
        <v>142</v>
      </c>
      <c r="D22" s="11" t="s">
        <v>56</v>
      </c>
      <c r="E22" s="12" t="s">
        <v>57</v>
      </c>
      <c r="F22" s="12" t="s">
        <v>36</v>
      </c>
      <c r="G22" s="13" t="s">
        <v>88</v>
      </c>
      <c r="H22" s="14" t="s">
        <v>114</v>
      </c>
    </row>
    <row r="23" spans="1:18" x14ac:dyDescent="0.25">
      <c r="A23" s="10" t="s">
        <v>143</v>
      </c>
      <c r="B23" s="11" t="s">
        <v>144</v>
      </c>
      <c r="C23" s="11" t="s">
        <v>145</v>
      </c>
      <c r="D23" s="11" t="s">
        <v>56</v>
      </c>
      <c r="E23" s="12" t="s">
        <v>57</v>
      </c>
      <c r="F23" s="12" t="s">
        <v>36</v>
      </c>
      <c r="G23" s="13" t="s">
        <v>88</v>
      </c>
      <c r="H23" s="14" t="s">
        <v>114</v>
      </c>
    </row>
    <row r="24" spans="1:18" x14ac:dyDescent="0.25">
      <c r="A24" s="10" t="s">
        <v>146</v>
      </c>
      <c r="B24" s="11" t="s">
        <v>147</v>
      </c>
      <c r="C24" s="11" t="s">
        <v>148</v>
      </c>
      <c r="D24" s="11" t="s">
        <v>56</v>
      </c>
      <c r="E24" s="12" t="s">
        <v>57</v>
      </c>
      <c r="F24" s="12" t="s">
        <v>36</v>
      </c>
      <c r="G24" s="13" t="s">
        <v>88</v>
      </c>
      <c r="H24" s="14" t="s">
        <v>114</v>
      </c>
    </row>
    <row r="25" spans="1:18" x14ac:dyDescent="0.25">
      <c r="A25" s="10" t="s">
        <v>149</v>
      </c>
      <c r="B25" s="11" t="s">
        <v>150</v>
      </c>
      <c r="C25" s="11" t="s">
        <v>151</v>
      </c>
      <c r="D25" s="11" t="s">
        <v>56</v>
      </c>
      <c r="E25" s="12" t="s">
        <v>57</v>
      </c>
      <c r="F25" s="12" t="s">
        <v>36</v>
      </c>
      <c r="G25" s="13" t="s">
        <v>88</v>
      </c>
      <c r="H25" s="14" t="s">
        <v>114</v>
      </c>
    </row>
    <row r="26" spans="1:18" x14ac:dyDescent="0.25">
      <c r="A26" s="10" t="s">
        <v>152</v>
      </c>
      <c r="B26" s="11" t="s">
        <v>116</v>
      </c>
      <c r="C26" s="11" t="s">
        <v>153</v>
      </c>
      <c r="D26" s="11" t="s">
        <v>56</v>
      </c>
      <c r="E26" s="12" t="s">
        <v>57</v>
      </c>
      <c r="F26" s="12" t="s">
        <v>36</v>
      </c>
      <c r="G26" s="13" t="s">
        <v>88</v>
      </c>
      <c r="H26" s="14" t="s">
        <v>154</v>
      </c>
    </row>
    <row r="27" spans="1:18" x14ac:dyDescent="0.25">
      <c r="A27" s="10" t="s">
        <v>155</v>
      </c>
      <c r="B27" s="11" t="s">
        <v>156</v>
      </c>
      <c r="C27" s="11" t="s">
        <v>157</v>
      </c>
      <c r="D27" s="11" t="s">
        <v>56</v>
      </c>
      <c r="E27" s="12" t="s">
        <v>57</v>
      </c>
      <c r="F27" s="12" t="s">
        <v>36</v>
      </c>
      <c r="G27" s="13" t="s">
        <v>88</v>
      </c>
      <c r="H27" s="14" t="s">
        <v>154</v>
      </c>
    </row>
    <row r="28" spans="1:18" x14ac:dyDescent="0.25">
      <c r="A28" s="10" t="s">
        <v>158</v>
      </c>
      <c r="B28" s="11" t="s">
        <v>112</v>
      </c>
      <c r="C28" s="11" t="s">
        <v>159</v>
      </c>
      <c r="D28" s="11" t="s">
        <v>56</v>
      </c>
      <c r="E28" s="12" t="s">
        <v>57</v>
      </c>
      <c r="F28" s="12" t="s">
        <v>36</v>
      </c>
      <c r="G28" s="13" t="s">
        <v>88</v>
      </c>
      <c r="H28" s="14" t="s">
        <v>154</v>
      </c>
    </row>
    <row r="29" spans="1:18" x14ac:dyDescent="0.25">
      <c r="A29" s="10" t="s">
        <v>160</v>
      </c>
      <c r="B29" s="11" t="s">
        <v>132</v>
      </c>
      <c r="C29" s="11" t="s">
        <v>161</v>
      </c>
      <c r="D29" s="11" t="s">
        <v>56</v>
      </c>
      <c r="E29" s="12" t="s">
        <v>57</v>
      </c>
      <c r="F29" s="12" t="s">
        <v>36</v>
      </c>
      <c r="G29" s="13" t="s">
        <v>88</v>
      </c>
      <c r="H29" s="14" t="s">
        <v>154</v>
      </c>
    </row>
    <row r="30" spans="1:18" x14ac:dyDescent="0.25">
      <c r="A30" s="10" t="s">
        <v>162</v>
      </c>
      <c r="B30" s="11" t="s">
        <v>163</v>
      </c>
      <c r="C30" s="11" t="s">
        <v>164</v>
      </c>
      <c r="D30" s="11" t="s">
        <v>56</v>
      </c>
      <c r="E30" s="12" t="s">
        <v>57</v>
      </c>
      <c r="F30" s="12" t="s">
        <v>36</v>
      </c>
      <c r="G30" s="13" t="s">
        <v>88</v>
      </c>
      <c r="H30" s="14" t="s">
        <v>154</v>
      </c>
    </row>
    <row r="31" spans="1:18" x14ac:dyDescent="0.25">
      <c r="A31" s="10" t="s">
        <v>165</v>
      </c>
      <c r="B31" s="11" t="s">
        <v>166</v>
      </c>
      <c r="C31" s="11" t="s">
        <v>167</v>
      </c>
      <c r="D31" s="11" t="s">
        <v>56</v>
      </c>
      <c r="E31" s="12" t="s">
        <v>57</v>
      </c>
      <c r="F31" s="12" t="s">
        <v>36</v>
      </c>
      <c r="G31" s="13" t="s">
        <v>88</v>
      </c>
      <c r="H31" s="14" t="s">
        <v>154</v>
      </c>
    </row>
    <row r="32" spans="1:18" x14ac:dyDescent="0.25">
      <c r="A32" s="10" t="s">
        <v>168</v>
      </c>
      <c r="B32" s="11" t="s">
        <v>122</v>
      </c>
      <c r="C32" s="11" t="s">
        <v>169</v>
      </c>
      <c r="D32" s="11" t="s">
        <v>56</v>
      </c>
      <c r="E32" s="12" t="s">
        <v>57</v>
      </c>
      <c r="F32" s="12" t="s">
        <v>36</v>
      </c>
      <c r="G32" s="13" t="s">
        <v>88</v>
      </c>
      <c r="H32" s="14" t="s">
        <v>154</v>
      </c>
    </row>
    <row r="33" spans="1:8" x14ac:dyDescent="0.25">
      <c r="A33" s="10" t="s">
        <v>170</v>
      </c>
      <c r="B33" s="11" t="s">
        <v>119</v>
      </c>
      <c r="C33" s="11" t="s">
        <v>171</v>
      </c>
      <c r="D33" s="11" t="s">
        <v>56</v>
      </c>
      <c r="E33" s="12" t="s">
        <v>57</v>
      </c>
      <c r="F33" s="12" t="s">
        <v>36</v>
      </c>
      <c r="G33" s="13" t="s">
        <v>88</v>
      </c>
      <c r="H33" s="14" t="s">
        <v>154</v>
      </c>
    </row>
    <row r="34" spans="1:8" x14ac:dyDescent="0.25">
      <c r="A34" s="10" t="s">
        <v>172</v>
      </c>
      <c r="B34" s="11" t="s">
        <v>173</v>
      </c>
      <c r="C34" s="11" t="s">
        <v>174</v>
      </c>
      <c r="D34" s="11" t="s">
        <v>56</v>
      </c>
      <c r="E34" s="12" t="s">
        <v>57</v>
      </c>
      <c r="F34" s="12" t="s">
        <v>36</v>
      </c>
      <c r="G34" s="13" t="s">
        <v>88</v>
      </c>
      <c r="H34" s="14" t="s">
        <v>154</v>
      </c>
    </row>
    <row r="35" spans="1:8" x14ac:dyDescent="0.25">
      <c r="A35" s="10" t="s">
        <v>175</v>
      </c>
      <c r="B35" s="11" t="s">
        <v>176</v>
      </c>
      <c r="C35" s="11" t="s">
        <v>177</v>
      </c>
      <c r="D35" s="11" t="s">
        <v>56</v>
      </c>
      <c r="E35" s="12" t="s">
        <v>57</v>
      </c>
      <c r="F35" s="12" t="s">
        <v>36</v>
      </c>
      <c r="G35" s="13" t="s">
        <v>88</v>
      </c>
      <c r="H35" s="14" t="s">
        <v>178</v>
      </c>
    </row>
    <row r="36" spans="1:8" x14ac:dyDescent="0.25">
      <c r="A36" s="10" t="s">
        <v>179</v>
      </c>
      <c r="B36" s="11" t="s">
        <v>180</v>
      </c>
      <c r="C36" s="11" t="s">
        <v>181</v>
      </c>
      <c r="D36" s="11" t="s">
        <v>56</v>
      </c>
      <c r="E36" s="12" t="s">
        <v>57</v>
      </c>
      <c r="F36" s="12" t="s">
        <v>36</v>
      </c>
      <c r="G36" s="13" t="s">
        <v>88</v>
      </c>
      <c r="H36" s="14" t="s">
        <v>178</v>
      </c>
    </row>
    <row r="37" spans="1:8" x14ac:dyDescent="0.25">
      <c r="A37" s="10" t="s">
        <v>182</v>
      </c>
      <c r="B37" s="11" t="s">
        <v>183</v>
      </c>
      <c r="C37" s="11" t="s">
        <v>184</v>
      </c>
      <c r="D37" s="11" t="s">
        <v>56</v>
      </c>
      <c r="E37" s="12" t="s">
        <v>57</v>
      </c>
      <c r="F37" s="12" t="s">
        <v>36</v>
      </c>
      <c r="G37" s="13" t="s">
        <v>88</v>
      </c>
      <c r="H37" s="14" t="s">
        <v>178</v>
      </c>
    </row>
    <row r="38" spans="1:8" x14ac:dyDescent="0.25">
      <c r="A38" s="10" t="s">
        <v>185</v>
      </c>
      <c r="B38" s="11" t="s">
        <v>186</v>
      </c>
      <c r="C38" s="11" t="s">
        <v>187</v>
      </c>
      <c r="D38" s="11" t="s">
        <v>56</v>
      </c>
      <c r="E38" s="12" t="s">
        <v>57</v>
      </c>
      <c r="F38" s="12" t="s">
        <v>36</v>
      </c>
      <c r="G38" s="13" t="s">
        <v>88</v>
      </c>
      <c r="H38" s="14" t="s">
        <v>178</v>
      </c>
    </row>
    <row r="39" spans="1:8" x14ac:dyDescent="0.25">
      <c r="A39" s="10" t="s">
        <v>188</v>
      </c>
      <c r="B39" s="11" t="s">
        <v>130</v>
      </c>
      <c r="C39" s="11" t="s">
        <v>189</v>
      </c>
      <c r="D39" s="11" t="s">
        <v>56</v>
      </c>
      <c r="E39" s="12" t="s">
        <v>57</v>
      </c>
      <c r="F39" s="12" t="s">
        <v>36</v>
      </c>
      <c r="G39" s="13" t="s">
        <v>88</v>
      </c>
      <c r="H39" s="14" t="s">
        <v>178</v>
      </c>
    </row>
    <row r="40" spans="1:8" x14ac:dyDescent="0.25">
      <c r="A40" s="10" t="s">
        <v>190</v>
      </c>
      <c r="B40" s="11" t="s">
        <v>191</v>
      </c>
      <c r="C40" s="11" t="s">
        <v>192</v>
      </c>
      <c r="D40" s="11" t="s">
        <v>56</v>
      </c>
      <c r="E40" s="12" t="s">
        <v>57</v>
      </c>
      <c r="F40" s="12" t="s">
        <v>36</v>
      </c>
      <c r="G40" s="13" t="s">
        <v>88</v>
      </c>
      <c r="H40" s="14" t="s">
        <v>178</v>
      </c>
    </row>
    <row r="41" spans="1:8" x14ac:dyDescent="0.25">
      <c r="A41" s="25" t="s">
        <v>193</v>
      </c>
      <c r="B41" s="21" t="s">
        <v>194</v>
      </c>
      <c r="C41" s="21" t="s">
        <v>195</v>
      </c>
      <c r="D41" s="21" t="s">
        <v>56</v>
      </c>
      <c r="E41" s="35" t="s">
        <v>196</v>
      </c>
      <c r="F41" s="35" t="s">
        <v>36</v>
      </c>
      <c r="G41" s="26" t="s">
        <v>88</v>
      </c>
      <c r="H41" s="44" t="s">
        <v>197</v>
      </c>
    </row>
    <row r="42" spans="1:8" x14ac:dyDescent="0.25">
      <c r="A42" s="25" t="s">
        <v>198</v>
      </c>
      <c r="B42" s="21" t="s">
        <v>199</v>
      </c>
      <c r="C42" s="21" t="s">
        <v>200</v>
      </c>
      <c r="D42" s="21" t="s">
        <v>56</v>
      </c>
      <c r="E42" s="35" t="s">
        <v>196</v>
      </c>
      <c r="F42" s="35" t="s">
        <v>36</v>
      </c>
      <c r="G42" s="26" t="s">
        <v>88</v>
      </c>
      <c r="H42" s="44" t="s">
        <v>197</v>
      </c>
    </row>
    <row r="43" spans="1:8" x14ac:dyDescent="0.25">
      <c r="A43" s="25" t="s">
        <v>201</v>
      </c>
      <c r="B43" s="21" t="s">
        <v>202</v>
      </c>
      <c r="C43" s="21" t="s">
        <v>203</v>
      </c>
      <c r="D43" s="21" t="s">
        <v>56</v>
      </c>
      <c r="E43" s="35" t="s">
        <v>196</v>
      </c>
      <c r="F43" s="35" t="s">
        <v>36</v>
      </c>
      <c r="G43" s="26" t="s">
        <v>88</v>
      </c>
      <c r="H43" s="44" t="s">
        <v>197</v>
      </c>
    </row>
    <row r="44" spans="1:8" x14ac:dyDescent="0.25">
      <c r="A44" s="10" t="s">
        <v>204</v>
      </c>
      <c r="B44" s="11" t="s">
        <v>205</v>
      </c>
      <c r="C44" s="11" t="s">
        <v>206</v>
      </c>
      <c r="D44" s="11" t="s">
        <v>48</v>
      </c>
      <c r="E44" s="12" t="s">
        <v>207</v>
      </c>
      <c r="F44" s="12"/>
      <c r="G44" s="13" t="s">
        <v>28</v>
      </c>
      <c r="H44" s="14" t="s">
        <v>208</v>
      </c>
    </row>
    <row r="45" spans="1:8" x14ac:dyDescent="0.25">
      <c r="A45" s="10" t="s">
        <v>209</v>
      </c>
      <c r="B45" s="11" t="s">
        <v>210</v>
      </c>
      <c r="C45" s="11" t="s">
        <v>211</v>
      </c>
      <c r="D45" s="11" t="s">
        <v>48</v>
      </c>
      <c r="E45" s="12" t="s">
        <v>207</v>
      </c>
      <c r="F45" s="12"/>
      <c r="G45" s="13" t="s">
        <v>28</v>
      </c>
      <c r="H45" s="14" t="s">
        <v>208</v>
      </c>
    </row>
    <row r="46" spans="1:8" x14ac:dyDescent="0.25">
      <c r="A46" s="10" t="s">
        <v>212</v>
      </c>
      <c r="B46" s="11" t="s">
        <v>213</v>
      </c>
      <c r="C46" s="11" t="s">
        <v>214</v>
      </c>
      <c r="D46" s="11" t="s">
        <v>48</v>
      </c>
      <c r="E46" s="12" t="s">
        <v>207</v>
      </c>
      <c r="F46" s="12"/>
      <c r="G46" s="13" t="s">
        <v>28</v>
      </c>
      <c r="H46" s="14" t="s">
        <v>208</v>
      </c>
    </row>
    <row r="47" spans="1:8" x14ac:dyDescent="0.25">
      <c r="A47" s="10" t="s">
        <v>215</v>
      </c>
      <c r="B47" s="11" t="s">
        <v>216</v>
      </c>
      <c r="C47" s="11" t="s">
        <v>217</v>
      </c>
      <c r="D47" s="11" t="s">
        <v>48</v>
      </c>
      <c r="E47" s="12" t="s">
        <v>207</v>
      </c>
      <c r="F47" s="12"/>
      <c r="G47" s="13" t="s">
        <v>28</v>
      </c>
      <c r="H47" s="14" t="s">
        <v>208</v>
      </c>
    </row>
    <row r="48" spans="1:8" x14ac:dyDescent="0.25">
      <c r="A48" s="10" t="s">
        <v>218</v>
      </c>
      <c r="B48" s="11" t="s">
        <v>219</v>
      </c>
      <c r="C48" s="11" t="s">
        <v>220</v>
      </c>
      <c r="D48" s="11" t="s">
        <v>48</v>
      </c>
      <c r="E48" s="12" t="s">
        <v>207</v>
      </c>
      <c r="F48" s="12"/>
      <c r="G48" s="13" t="s">
        <v>28</v>
      </c>
      <c r="H48" s="14" t="s">
        <v>208</v>
      </c>
    </row>
    <row r="49" spans="1:8" x14ac:dyDescent="0.25">
      <c r="A49" s="10" t="s">
        <v>221</v>
      </c>
      <c r="B49" s="11" t="s">
        <v>222</v>
      </c>
      <c r="C49" s="11" t="s">
        <v>223</v>
      </c>
      <c r="D49" s="11" t="s">
        <v>48</v>
      </c>
      <c r="E49" s="12" t="s">
        <v>207</v>
      </c>
      <c r="F49" s="12"/>
      <c r="G49" s="13" t="s">
        <v>28</v>
      </c>
      <c r="H49" s="14" t="s">
        <v>208</v>
      </c>
    </row>
    <row r="50" spans="1:8" x14ac:dyDescent="0.25">
      <c r="A50" s="10" t="s">
        <v>224</v>
      </c>
      <c r="B50" s="11" t="s">
        <v>225</v>
      </c>
      <c r="C50" s="11" t="s">
        <v>226</v>
      </c>
      <c r="D50" s="11" t="s">
        <v>48</v>
      </c>
      <c r="E50" s="12" t="s">
        <v>207</v>
      </c>
      <c r="F50" s="12"/>
      <c r="G50" s="13" t="s">
        <v>28</v>
      </c>
      <c r="H50" s="14" t="s">
        <v>208</v>
      </c>
    </row>
    <row r="51" spans="1:8" x14ac:dyDescent="0.25">
      <c r="A51" s="10" t="s">
        <v>227</v>
      </c>
      <c r="B51" s="11" t="s">
        <v>228</v>
      </c>
      <c r="C51" s="11" t="s">
        <v>229</v>
      </c>
      <c r="D51" s="11" t="s">
        <v>48</v>
      </c>
      <c r="E51" s="12" t="s">
        <v>207</v>
      </c>
      <c r="F51" s="12"/>
      <c r="G51" s="13" t="s">
        <v>28</v>
      </c>
      <c r="H51" s="14" t="s">
        <v>208</v>
      </c>
    </row>
    <row r="52" spans="1:8" x14ac:dyDescent="0.25">
      <c r="A52" s="10" t="s">
        <v>230</v>
      </c>
      <c r="B52" s="11" t="s">
        <v>231</v>
      </c>
      <c r="C52" s="11" t="s">
        <v>232</v>
      </c>
      <c r="D52" s="11" t="s">
        <v>48</v>
      </c>
      <c r="E52" s="12" t="s">
        <v>207</v>
      </c>
      <c r="F52" s="12"/>
      <c r="G52" s="13" t="s">
        <v>28</v>
      </c>
      <c r="H52" s="14" t="s">
        <v>208</v>
      </c>
    </row>
    <row r="53" spans="1:8" x14ac:dyDescent="0.25">
      <c r="A53" s="10" t="s">
        <v>233</v>
      </c>
      <c r="B53" s="11" t="s">
        <v>234</v>
      </c>
      <c r="C53" s="11" t="s">
        <v>235</v>
      </c>
      <c r="D53" s="11" t="s">
        <v>86</v>
      </c>
      <c r="E53" s="12" t="s">
        <v>57</v>
      </c>
      <c r="F53" s="12"/>
      <c r="G53" s="13" t="s">
        <v>88</v>
      </c>
      <c r="H53" s="14" t="s">
        <v>236</v>
      </c>
    </row>
    <row r="54" spans="1:8" x14ac:dyDescent="0.25">
      <c r="A54" s="10" t="s">
        <v>237</v>
      </c>
      <c r="B54" s="11" t="s">
        <v>238</v>
      </c>
      <c r="C54" s="11" t="s">
        <v>239</v>
      </c>
      <c r="D54" s="11" t="s">
        <v>86</v>
      </c>
      <c r="E54" s="12" t="s">
        <v>57</v>
      </c>
      <c r="F54" s="12"/>
      <c r="G54" s="13" t="s">
        <v>88</v>
      </c>
      <c r="H54" s="14" t="s">
        <v>236</v>
      </c>
    </row>
    <row r="55" spans="1:8" x14ac:dyDescent="0.25">
      <c r="A55" s="10" t="s">
        <v>240</v>
      </c>
      <c r="B55" s="11" t="s">
        <v>241</v>
      </c>
      <c r="C55" s="11" t="s">
        <v>242</v>
      </c>
      <c r="D55" s="11" t="s">
        <v>86</v>
      </c>
      <c r="E55" s="12" t="s">
        <v>57</v>
      </c>
      <c r="F55" s="12"/>
      <c r="G55" s="13" t="s">
        <v>88</v>
      </c>
      <c r="H55" s="14" t="s">
        <v>236</v>
      </c>
    </row>
    <row r="56" spans="1:8" x14ac:dyDescent="0.25">
      <c r="A56" s="10" t="s">
        <v>243</v>
      </c>
      <c r="B56" s="11" t="s">
        <v>244</v>
      </c>
      <c r="C56" s="11" t="s">
        <v>245</v>
      </c>
      <c r="D56" s="11" t="s">
        <v>86</v>
      </c>
      <c r="E56" s="12" t="s">
        <v>57</v>
      </c>
      <c r="F56" s="12"/>
      <c r="G56" s="13" t="s">
        <v>88</v>
      </c>
      <c r="H56" s="14" t="s">
        <v>236</v>
      </c>
    </row>
    <row r="57" spans="1:8" x14ac:dyDescent="0.25">
      <c r="A57" s="10" t="s">
        <v>246</v>
      </c>
      <c r="B57" s="11" t="s">
        <v>247</v>
      </c>
      <c r="C57" s="11" t="s">
        <v>248</v>
      </c>
      <c r="D57" s="11" t="s">
        <v>86</v>
      </c>
      <c r="E57" s="12" t="s">
        <v>57</v>
      </c>
      <c r="F57" s="12"/>
      <c r="G57" s="13" t="s">
        <v>88</v>
      </c>
      <c r="H57" s="14" t="s">
        <v>236</v>
      </c>
    </row>
    <row r="58" spans="1:8" x14ac:dyDescent="0.25">
      <c r="A58" s="10" t="s">
        <v>249</v>
      </c>
      <c r="B58" s="11" t="s">
        <v>250</v>
      </c>
      <c r="C58" s="11" t="s">
        <v>251</v>
      </c>
      <c r="D58" s="11" t="s">
        <v>86</v>
      </c>
      <c r="E58" s="12" t="s">
        <v>57</v>
      </c>
      <c r="F58" s="12"/>
      <c r="G58" s="13" t="s">
        <v>88</v>
      </c>
      <c r="H58" s="14" t="s">
        <v>236</v>
      </c>
    </row>
    <row r="59" spans="1:8" x14ac:dyDescent="0.25">
      <c r="A59" s="10" t="s">
        <v>252</v>
      </c>
      <c r="B59" s="11" t="s">
        <v>216</v>
      </c>
      <c r="C59" s="11" t="s">
        <v>253</v>
      </c>
      <c r="D59" s="11" t="s">
        <v>86</v>
      </c>
      <c r="E59" s="12" t="s">
        <v>57</v>
      </c>
      <c r="F59" s="12"/>
      <c r="G59" s="13" t="s">
        <v>88</v>
      </c>
      <c r="H59" s="14" t="s">
        <v>236</v>
      </c>
    </row>
    <row r="60" spans="1:8" x14ac:dyDescent="0.25">
      <c r="A60" s="10" t="s">
        <v>254</v>
      </c>
      <c r="B60" s="11" t="s">
        <v>255</v>
      </c>
      <c r="C60" s="11" t="s">
        <v>256</v>
      </c>
      <c r="D60" s="11" t="s">
        <v>86</v>
      </c>
      <c r="E60" s="12" t="s">
        <v>57</v>
      </c>
      <c r="F60" s="12"/>
      <c r="G60" s="13" t="s">
        <v>88</v>
      </c>
      <c r="H60" s="14" t="s">
        <v>236</v>
      </c>
    </row>
    <row r="61" spans="1:8" x14ac:dyDescent="0.25">
      <c r="A61" s="10" t="s">
        <v>257</v>
      </c>
      <c r="B61" s="11" t="s">
        <v>258</v>
      </c>
      <c r="C61" s="11" t="s">
        <v>259</v>
      </c>
      <c r="D61" s="11" t="s">
        <v>86</v>
      </c>
      <c r="E61" s="12" t="s">
        <v>57</v>
      </c>
      <c r="F61" s="12"/>
      <c r="G61" s="13" t="s">
        <v>88</v>
      </c>
      <c r="H61" s="14" t="s">
        <v>236</v>
      </c>
    </row>
    <row r="62" spans="1:8" x14ac:dyDescent="0.25">
      <c r="A62" s="10" t="s">
        <v>260</v>
      </c>
      <c r="B62" s="11" t="s">
        <v>261</v>
      </c>
      <c r="C62" s="11" t="s">
        <v>262</v>
      </c>
      <c r="D62" s="11" t="s">
        <v>22</v>
      </c>
      <c r="E62" s="12" t="s">
        <v>57</v>
      </c>
      <c r="F62" s="12"/>
      <c r="G62" s="13" t="s">
        <v>28</v>
      </c>
      <c r="H62" s="14" t="s">
        <v>37</v>
      </c>
    </row>
    <row r="63" spans="1:8" x14ac:dyDescent="0.25">
      <c r="A63" s="10" t="s">
        <v>263</v>
      </c>
      <c r="B63" s="11" t="s">
        <v>264</v>
      </c>
      <c r="C63" s="11" t="s">
        <v>265</v>
      </c>
      <c r="D63" s="11" t="s">
        <v>38</v>
      </c>
      <c r="E63" s="12" t="s">
        <v>57</v>
      </c>
      <c r="F63" s="12"/>
      <c r="G63" s="13" t="s">
        <v>28</v>
      </c>
      <c r="H63" s="14" t="s">
        <v>37</v>
      </c>
    </row>
    <row r="64" spans="1:8" x14ac:dyDescent="0.25">
      <c r="A64" s="28" t="s">
        <v>266</v>
      </c>
      <c r="B64" s="29" t="s">
        <v>166</v>
      </c>
      <c r="C64" s="29" t="s">
        <v>267</v>
      </c>
      <c r="D64" s="29" t="s">
        <v>66</v>
      </c>
      <c r="E64" s="30" t="s">
        <v>57</v>
      </c>
      <c r="F64" s="30"/>
      <c r="G64" s="31" t="s">
        <v>28</v>
      </c>
      <c r="H64" s="32" t="s">
        <v>114</v>
      </c>
    </row>
    <row r="65" spans="1:8" x14ac:dyDescent="0.25">
      <c r="A65" s="10" t="s">
        <v>268</v>
      </c>
      <c r="B65" s="11" t="s">
        <v>269</v>
      </c>
      <c r="C65" s="11" t="s">
        <v>270</v>
      </c>
      <c r="D65" s="11" t="s">
        <v>99</v>
      </c>
      <c r="E65" s="42" t="s">
        <v>271</v>
      </c>
      <c r="F65" s="12"/>
      <c r="G65" s="12" t="s">
        <v>28</v>
      </c>
      <c r="H65" s="43" t="s">
        <v>236</v>
      </c>
    </row>
    <row r="66" spans="1:8" x14ac:dyDescent="0.25">
      <c r="A66" s="10" t="s">
        <v>272</v>
      </c>
      <c r="B66" s="11" t="s">
        <v>273</v>
      </c>
      <c r="C66" s="11" t="s">
        <v>274</v>
      </c>
      <c r="D66" s="11" t="s">
        <v>84</v>
      </c>
      <c r="E66" s="42" t="s">
        <v>271</v>
      </c>
      <c r="F66" s="12"/>
      <c r="G66" s="12" t="s">
        <v>28</v>
      </c>
      <c r="H66" s="43" t="s">
        <v>236</v>
      </c>
    </row>
  </sheetData>
  <autoFilter ref="A1:H66" xr:uid="{B3D9B1A4-D30B-4308-8251-D7D9CAE12DE3}"/>
  <mergeCells count="2">
    <mergeCell ref="W6:Y6"/>
    <mergeCell ref="W1:Y1"/>
  </mergeCells>
  <conditionalFormatting sqref="B1:B1048575">
    <cfRule type="duplicateValues" dxfId="0" priority="1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3e6d79-66ea-4423-89d1-c4f2d0aaf70a" xsi:nil="true"/>
    <lcf76f155ced4ddcb4097134ff3c332f xmlns="c3e11c55-bbef-42b8-a882-9277c616c40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0156CAC5B9AAF48B09CE087D2DFA44C" ma:contentTypeVersion="11" ma:contentTypeDescription="Crear nuevo documento." ma:contentTypeScope="" ma:versionID="c2271144aaacbe1343fb13cd65c0fc10">
  <xsd:schema xmlns:xsd="http://www.w3.org/2001/XMLSchema" xmlns:xs="http://www.w3.org/2001/XMLSchema" xmlns:p="http://schemas.microsoft.com/office/2006/metadata/properties" xmlns:ns2="c3e11c55-bbef-42b8-a882-9277c616c407" xmlns:ns3="593e6d79-66ea-4423-89d1-c4f2d0aaf70a" targetNamespace="http://schemas.microsoft.com/office/2006/metadata/properties" ma:root="true" ma:fieldsID="7c438bddc44e2d075737da30b9e6d6eb" ns2:_="" ns3:_="">
    <xsd:import namespace="c3e11c55-bbef-42b8-a882-9277c616c407"/>
    <xsd:import namespace="593e6d79-66ea-4423-89d1-c4f2d0aaf7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e11c55-bbef-42b8-a882-9277c616c4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44d5198f-9dc4-44f0-907f-191b9f36be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3e6d79-66ea-4423-89d1-c4f2d0aaf70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5e893dd-ecdc-4867-a766-6d7855386450}" ma:internalName="TaxCatchAll" ma:showField="CatchAllData" ma:web="593e6d79-66ea-4423-89d1-c4f2d0aaf7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C8EAED-E8D8-43DC-8C6A-2EA59A272D12}">
  <ds:schemaRefs>
    <ds:schemaRef ds:uri="http://purl.org/dc/elements/1.1/"/>
    <ds:schemaRef ds:uri="593e6d79-66ea-4423-89d1-c4f2d0aaf70a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c3e11c55-bbef-42b8-a882-9277c616c407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6E88D07-9AB1-4D28-9D6C-5497C76D05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e11c55-bbef-42b8-a882-9277c616c407"/>
    <ds:schemaRef ds:uri="593e6d79-66ea-4423-89d1-c4f2d0aaf7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E2D709-56CF-4E0F-8AC7-0990A2CC91A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TABLAS CONV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Romina Bularte</dc:creator>
  <cp:keywords/>
  <dc:description/>
  <cp:lastModifiedBy>Tomas Olmos de Rose</cp:lastModifiedBy>
  <cp:revision/>
  <dcterms:created xsi:type="dcterms:W3CDTF">2025-08-28T19:13:00Z</dcterms:created>
  <dcterms:modified xsi:type="dcterms:W3CDTF">2026-05-28T13:07:56Z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0x010100F0156CAC5B9AAF48B09CE087D2DFA44C</vt:lpwstr>
  </property>
  <property fmtid="{D5CDD505-2E9C-101B-9397-08002B2CF9AE}" pid="3" name="MediaServiceImageTags">
    <vt:lpwstr/>
  </property>
</Properties>
</file>